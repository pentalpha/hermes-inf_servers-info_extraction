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<sst xmlns="http://schemas.openxmlformats.org/spreadsheetml/2006/main" count="73" uniqueCount="43">
  <si>
    <t xml:space="preserve">ner_model</t>
  </si>
  <si>
    <t xml:space="preserve">classification_model</t>
  </si>
  <si>
    <t xml:space="preserve">samples</t>
  </si>
  <si>
    <t xml:space="preserve">million_input_tokens</t>
  </si>
  <si>
    <t xml:space="preserve">million_output_tokens</t>
  </si>
  <si>
    <t xml:space="preserve">total_cost ($)</t>
  </si>
  <si>
    <t xml:space="preserve">cost_per_transcript</t>
  </si>
  <si>
    <t xml:space="preserve">seconds_per_transcript</t>
  </si>
  <si>
    <t xml:space="preserve">Cenário usando todas as amostras:</t>
  </si>
  <si>
    <t xml:space="preserve">Total de amostras:</t>
  </si>
  <si>
    <t xml:space="preserve">gemini-3-flash-preview</t>
  </si>
  <si>
    <t xml:space="preserve">gemini-2.5-flash</t>
  </si>
  <si>
    <t xml:space="preserve">gemini-2.5-pro</t>
  </si>
  <si>
    <t xml:space="preserve">gemini-2.5-flash-lite</t>
  </si>
  <si>
    <t xml:space="preserve">gpt-5-chat</t>
  </si>
  <si>
    <t xml:space="preserve">mistralai/Ministral-3-8B-Instruct-2512</t>
  </si>
  <si>
    <t xml:space="preserve">gpt-4.1</t>
  </si>
  <si>
    <t xml:space="preserve">mistralai/Ministral-3-3B-Instruct-2512</t>
  </si>
  <si>
    <t xml:space="preserve">gpt-4o-mini</t>
  </si>
  <si>
    <t xml:space="preserve">Qwen/Qwen3-4B-Instruct-2507-FP8</t>
  </si>
  <si>
    <t xml:space="preserve">gpt-5-mini</t>
  </si>
  <si>
    <t xml:space="preserve">gemini-2.0-flash</t>
  </si>
  <si>
    <t xml:space="preserve">gpt-5.2-chat</t>
  </si>
  <si>
    <t xml:space="preserve">gemini-2.0-flash-lite</t>
  </si>
  <si>
    <t xml:space="preserve">CohereLabs/tiny-aya-global</t>
  </si>
  <si>
    <t xml:space="preserve">Goekdeniz-Guelmez/JOSIE-4B-Instruct</t>
  </si>
  <si>
    <t xml:space="preserve">knowledgator/gliner-x-large</t>
  </si>
  <si>
    <t xml:space="preserve">knowledgator/gliclass-large-v3.0</t>
  </si>
  <si>
    <t xml:space="preserve">Qwen/Qwen3-8B-FP8</t>
  </si>
  <si>
    <t xml:space="preserve">knowledgator/gliclass-base-v3.0</t>
  </si>
  <si>
    <t xml:space="preserve">nvidia/gliner-pii</t>
  </si>
  <si>
    <t xml:space="preserve">knowledgator/gliclass-base-v2.0-rac-init</t>
  </si>
  <si>
    <t xml:space="preserve">gliner-community/gliner_large-v2.5</t>
  </si>
  <si>
    <t xml:space="preserve">knowledgator/gliclass_msmarco_merged</t>
  </si>
  <si>
    <t xml:space="preserve">gpt-4.1-nano</t>
  </si>
  <si>
    <t xml:space="preserve">gpt-5-nano</t>
  </si>
  <si>
    <t xml:space="preserve">arcee-ai/AFM-4.5B</t>
  </si>
  <si>
    <t xml:space="preserve">tiiuae/Falcon3-3B-Instruct</t>
  </si>
  <si>
    <t xml:space="preserve">HuggingFaceTB/SmolLM3-3B</t>
  </si>
  <si>
    <t xml:space="preserve">o3-mini</t>
  </si>
  <si>
    <t xml:space="preserve">Máximo</t>
  </si>
  <si>
    <t xml:space="preserve">Média</t>
  </si>
  <si>
    <t xml:space="preserve">Mínimo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</si>
</sst>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"/>
    <numFmt numFmtId="166" formatCode="#,##0.000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1" activeCellId="0" sqref="B1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37.51"/>
    <col collapsed="false" customWidth="true" hidden="false" outlineLevel="0" max="2" min="2" style="0" width="33.83"/>
    <col collapsed="false" customWidth="true" hidden="false" outlineLevel="0" max="4" min="4" style="0" width="11.81"/>
    <col collapsed="false" customWidth="true" hidden="false" outlineLevel="0" max="5" min="5" style="0" width="13.44"/>
    <col collapsed="false" customWidth="true" hidden="false" outlineLevel="0" max="6" min="6" style="0" width="9.43"/>
    <col collapsed="false" customWidth="true" hidden="false" outlineLevel="0" max="8" min="8" style="0" width="10.95"/>
    <col collapsed="false" customWidth="true" hidden="false" outlineLevel="0" max="9" min="9" style="0" width="5.31"/>
    <col collapsed="false" customWidth="true" hidden="false" outlineLevel="0" max="10" min="10" style="0" width="5.96"/>
    <col collapsed="false" customWidth="true" hidden="false" outlineLevel="0" max="11" min="11" style="0" width="20.81"/>
    <col collapsed="false" customWidth="true" hidden="false" outlineLevel="0" max="12" min="12" style="0" width="12.79"/>
    <col collapsed="false" customWidth="true" hidden="false" outlineLevel="0" max="13" min="13" style="0" width="12.15"/>
    <col collapsed="false" customWidth="true" hidden="false" outlineLevel="0" max="14" min="14" style="0" width="12.79"/>
    <col collapsed="false" customWidth="true" hidden="false" outlineLevel="0" max="20" min="20" style="0" width="17.02"/>
    <col collapsed="false" customWidth="true" hidden="false" outlineLevel="0" max="21" min="21" style="0" width="16.8"/>
    <col collapsed="false" customWidth="true" hidden="false" outlineLevel="0" max="22" min="22" style="0" width="19.62"/>
    <col collapsed="false" customWidth="true" hidden="false" outlineLevel="0" max="24" min="24" style="0" width="20.93"/>
    <col collapsed="false" customWidth="true" hidden="false" outlineLevel="0" max="25" min="25" style="0" width="20.05"/>
    <col collapsed="false" customWidth="true" hidden="false" outlineLevel="0" max="28" min="28" style="0" width="21.69"/>
    <col collapsed="false" customWidth="true" hidden="false" outlineLevel="0" max="29" min="29" style="0" width="18.22"/>
  </cols>
  <sheetData>
    <row r="1" customFormat="false" ht="34.9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 t="s">
        <v>8</v>
      </c>
      <c r="L1" s="1" t="s">
        <v>9</v>
      </c>
      <c r="M1" s="1" t="s">
        <v>3</v>
      </c>
      <c r="N1" s="1" t="s">
        <v>4</v>
      </c>
      <c r="O1" s="2"/>
    </row>
    <row r="2" customFormat="false" ht="15" hidden="false" customHeight="false" outlineLevel="0" collapsed="false">
      <c r="A2" s="0" t="s">
        <v>10</v>
      </c>
      <c r="B2" s="0" t="s">
        <v>10</v>
      </c>
      <c r="C2" s="3" t="n">
        <v>429</v>
      </c>
      <c r="D2" s="4" t="n">
        <v>0.179709</v>
      </c>
      <c r="E2" s="4" t="n">
        <v>0.068005</v>
      </c>
      <c r="F2" s="4" t="n">
        <v>0.2938695</v>
      </c>
      <c r="G2" s="4" t="n">
        <v>0.00068501048951049</v>
      </c>
      <c r="H2" s="4" t="n">
        <v>10.0143047312757</v>
      </c>
      <c r="I2" s="3"/>
      <c r="J2" s="3"/>
      <c r="K2" s="3"/>
      <c r="L2" s="3" t="n">
        <v>1640</v>
      </c>
      <c r="M2" s="3" t="n">
        <f aca="false">(L2/C2)*D2</f>
        <v>0.686999440559441</v>
      </c>
      <c r="N2" s="3" t="n">
        <f aca="false">(L2/C2)*E2</f>
        <v>0.259972494172494</v>
      </c>
    </row>
    <row r="3" customFormat="false" ht="15" hidden="false" customHeight="false" outlineLevel="0" collapsed="false">
      <c r="A3" s="0" t="s">
        <v>11</v>
      </c>
      <c r="B3" s="0" t="s">
        <v>11</v>
      </c>
      <c r="C3" s="3" t="n">
        <v>429</v>
      </c>
      <c r="D3" s="4" t="n">
        <v>0.179709</v>
      </c>
      <c r="E3" s="4" t="n">
        <v>0.104669</v>
      </c>
      <c r="F3" s="4" t="n">
        <v>0.3155852</v>
      </c>
      <c r="G3" s="4" t="n">
        <v>0.000735629836829837</v>
      </c>
      <c r="H3" s="4" t="n">
        <v>4.70295903899453</v>
      </c>
      <c r="I3" s="3"/>
      <c r="J3" s="3"/>
      <c r="K3" s="3"/>
      <c r="L3" s="3" t="n">
        <v>1640</v>
      </c>
      <c r="M3" s="3" t="n">
        <f aca="false">(L3/C3)*D3</f>
        <v>0.686999440559441</v>
      </c>
      <c r="N3" s="3" t="n">
        <f aca="false">(L3/C3)*E3</f>
        <v>0.40013324009324</v>
      </c>
    </row>
    <row r="4" customFormat="false" ht="15" hidden="false" customHeight="false" outlineLevel="0" collapsed="false">
      <c r="A4" s="0" t="s">
        <v>12</v>
      </c>
      <c r="B4" s="0" t="s">
        <v>12</v>
      </c>
      <c r="C4" s="3" t="n">
        <v>429</v>
      </c>
      <c r="D4" s="4" t="n">
        <v>0.179709</v>
      </c>
      <c r="E4" s="4" t="n">
        <v>0.100035</v>
      </c>
      <c r="F4" s="4" t="n">
        <v>1.22498625</v>
      </c>
      <c r="G4" s="4" t="n">
        <v>0.0028554458041958</v>
      </c>
      <c r="H4" s="4" t="n">
        <v>8.42095771424976</v>
      </c>
      <c r="I4" s="3"/>
      <c r="J4" s="3"/>
      <c r="K4" s="3"/>
      <c r="L4" s="3" t="n">
        <v>1640</v>
      </c>
      <c r="M4" s="3" t="n">
        <f aca="false">(L4/C4)*D4</f>
        <v>0.686999440559441</v>
      </c>
      <c r="N4" s="3" t="n">
        <f aca="false">(L4/C4)*E4</f>
        <v>0.382418181818182</v>
      </c>
    </row>
    <row r="5" customFormat="false" ht="15" hidden="false" customHeight="false" outlineLevel="0" collapsed="false">
      <c r="A5" s="0" t="s">
        <v>13</v>
      </c>
      <c r="B5" s="0" t="s">
        <v>13</v>
      </c>
      <c r="C5" s="3" t="n">
        <v>428</v>
      </c>
      <c r="D5" s="4" t="n">
        <v>0.179326</v>
      </c>
      <c r="E5" s="4" t="n">
        <v>0.102107</v>
      </c>
      <c r="F5" s="4" t="n">
        <v>0.0587754</v>
      </c>
      <c r="G5" s="4" t="n">
        <v>0.000137325700934579</v>
      </c>
      <c r="H5" s="4" t="n">
        <v>1.02077205047429</v>
      </c>
      <c r="I5" s="3"/>
      <c r="J5" s="3"/>
      <c r="K5" s="3"/>
      <c r="L5" s="3" t="n">
        <v>1640</v>
      </c>
      <c r="M5" s="3" t="n">
        <f aca="false">(L5/C5)*D5</f>
        <v>0.687137009345795</v>
      </c>
      <c r="N5" s="3" t="n">
        <f aca="false">(L5/C5)*E5</f>
        <v>0.391251121495327</v>
      </c>
    </row>
    <row r="6" customFormat="false" ht="15" hidden="false" customHeight="false" outlineLevel="0" collapsed="false">
      <c r="A6" s="0" t="s">
        <v>14</v>
      </c>
      <c r="B6" s="0" t="s">
        <v>14</v>
      </c>
      <c r="C6" s="3" t="n">
        <v>424</v>
      </c>
      <c r="D6" s="4" t="n">
        <v>0.38177</v>
      </c>
      <c r="E6" s="4" t="n">
        <v>0.059617</v>
      </c>
      <c r="F6" s="4" t="n">
        <v>1.0733825</v>
      </c>
      <c r="G6" s="4" t="n">
        <v>0.0025315625</v>
      </c>
      <c r="H6" s="4" t="n">
        <v>4.33365832353538</v>
      </c>
      <c r="I6" s="3"/>
      <c r="J6" s="3"/>
      <c r="K6" s="3"/>
      <c r="L6" s="3" t="n">
        <v>1640</v>
      </c>
      <c r="M6" s="3" t="n">
        <f aca="false">(L6/C6)*D6</f>
        <v>1.47665754716981</v>
      </c>
      <c r="N6" s="3" t="n">
        <f aca="false">(L6/C6)*E6</f>
        <v>0.230594056603774</v>
      </c>
    </row>
    <row r="7" customFormat="false" ht="15" hidden="false" customHeight="false" outlineLevel="0" collapsed="false">
      <c r="A7" s="0" t="s">
        <v>15</v>
      </c>
      <c r="B7" s="0" t="s">
        <v>15</v>
      </c>
      <c r="C7" s="3" t="n">
        <v>426</v>
      </c>
      <c r="D7" s="4" t="n">
        <v>0.573252</v>
      </c>
      <c r="E7" s="4" t="n">
        <v>0.082176</v>
      </c>
      <c r="F7" s="4" t="n">
        <v>2.12767187310159</v>
      </c>
      <c r="G7" s="4" t="n">
        <v>0.00499453491338402</v>
      </c>
      <c r="H7" s="4" t="n">
        <v>1.47367639440886</v>
      </c>
      <c r="I7" s="3"/>
      <c r="J7" s="3"/>
      <c r="K7" s="3"/>
      <c r="L7" s="3" t="n">
        <v>1640</v>
      </c>
      <c r="M7" s="3" t="n">
        <f aca="false">(L7/C7)*D7</f>
        <v>2.20688563380282</v>
      </c>
      <c r="N7" s="3" t="n">
        <f aca="false">(L7/C7)*E7</f>
        <v>0.316358309859155</v>
      </c>
    </row>
    <row r="8" customFormat="false" ht="15" hidden="false" customHeight="false" outlineLevel="0" collapsed="false">
      <c r="A8" s="0" t="s">
        <v>16</v>
      </c>
      <c r="B8" s="0" t="s">
        <v>16</v>
      </c>
      <c r="C8" s="3" t="n">
        <v>413</v>
      </c>
      <c r="D8" s="4" t="n">
        <v>0.365173</v>
      </c>
      <c r="E8" s="4" t="n">
        <v>0.068784</v>
      </c>
      <c r="F8" s="4" t="n">
        <v>1.280618</v>
      </c>
      <c r="G8" s="4" t="n">
        <v>0.00310076997578693</v>
      </c>
      <c r="H8" s="4" t="n">
        <v>3.52693354419588</v>
      </c>
      <c r="I8" s="3"/>
      <c r="J8" s="3"/>
      <c r="K8" s="3"/>
      <c r="L8" s="3" t="n">
        <v>1640</v>
      </c>
      <c r="M8" s="3" t="n">
        <f aca="false">(L8/C8)*D8</f>
        <v>1.4500816464891</v>
      </c>
      <c r="N8" s="3" t="n">
        <f aca="false">(L8/C8)*E8</f>
        <v>0.273137433414044</v>
      </c>
    </row>
    <row r="9" customFormat="false" ht="15" hidden="false" customHeight="false" outlineLevel="0" collapsed="false">
      <c r="A9" s="0" t="s">
        <v>17</v>
      </c>
      <c r="B9" s="0" t="s">
        <v>17</v>
      </c>
      <c r="C9" s="3" t="n">
        <v>427</v>
      </c>
      <c r="D9" s="4" t="n">
        <v>0.574827</v>
      </c>
      <c r="E9" s="4" t="n">
        <v>0.080958</v>
      </c>
      <c r="F9" s="4" t="n">
        <v>0.642141974259019</v>
      </c>
      <c r="G9" s="4" t="n">
        <v>0.00150384537297194</v>
      </c>
      <c r="H9" s="4" t="n">
        <v>0.443721280444143</v>
      </c>
      <c r="I9" s="3"/>
      <c r="J9" s="3"/>
      <c r="K9" s="3"/>
      <c r="L9" s="3" t="n">
        <v>1640</v>
      </c>
      <c r="M9" s="3" t="n">
        <f aca="false">(L9/C9)*D9</f>
        <v>2.20776646370023</v>
      </c>
      <c r="N9" s="3" t="n">
        <f aca="false">(L9/C9)*E9</f>
        <v>0.310939391100703</v>
      </c>
    </row>
    <row r="10" customFormat="false" ht="15" hidden="false" customHeight="false" outlineLevel="0" collapsed="false">
      <c r="A10" s="0" t="s">
        <v>18</v>
      </c>
      <c r="B10" s="0" t="s">
        <v>18</v>
      </c>
      <c r="C10" s="3" t="n">
        <v>413</v>
      </c>
      <c r="D10" s="4" t="n">
        <v>0.365218</v>
      </c>
      <c r="E10" s="4" t="n">
        <v>0.063446</v>
      </c>
      <c r="F10" s="4" t="n">
        <v>0.0928503</v>
      </c>
      <c r="G10" s="4" t="n">
        <v>0.000224819128329298</v>
      </c>
      <c r="H10" s="4" t="n">
        <v>3.72475956311815</v>
      </c>
      <c r="I10" s="3"/>
      <c r="J10" s="3"/>
      <c r="K10" s="3"/>
      <c r="L10" s="3" t="n">
        <v>1640</v>
      </c>
      <c r="M10" s="3" t="n">
        <f aca="false">(L10/C10)*D10</f>
        <v>1.45026033898305</v>
      </c>
      <c r="N10" s="3" t="n">
        <f aca="false">(L10/C10)*E10</f>
        <v>0.251940532687651</v>
      </c>
    </row>
    <row r="11" customFormat="false" ht="15" hidden="false" customHeight="false" outlineLevel="0" collapsed="false">
      <c r="A11" s="0" t="s">
        <v>19</v>
      </c>
      <c r="B11" s="0" t="s">
        <v>19</v>
      </c>
      <c r="C11" s="3" t="n">
        <v>429</v>
      </c>
      <c r="D11" s="4" t="n">
        <v>0.579114</v>
      </c>
      <c r="E11" s="4" t="n">
        <v>0.082539</v>
      </c>
      <c r="F11" s="4" t="n">
        <v>0.867706084099611</v>
      </c>
      <c r="G11" s="4" t="n">
        <v>0.0020226249046611</v>
      </c>
      <c r="H11" s="4" t="n">
        <v>0.596791218488644</v>
      </c>
      <c r="I11" s="3"/>
      <c r="J11" s="3"/>
      <c r="K11" s="3"/>
      <c r="L11" s="3" t="n">
        <v>1640</v>
      </c>
      <c r="M11" s="3" t="n">
        <f aca="false">(L11/C11)*D11</f>
        <v>2.21386237762238</v>
      </c>
      <c r="N11" s="3" t="n">
        <f aca="false">(L11/C11)*E11</f>
        <v>0.315533706293706</v>
      </c>
    </row>
    <row r="12" customFormat="false" ht="15" hidden="false" customHeight="false" outlineLevel="0" collapsed="false">
      <c r="A12" s="0" t="s">
        <v>20</v>
      </c>
      <c r="B12" s="0" t="s">
        <v>20</v>
      </c>
      <c r="C12" s="3" t="n">
        <v>428</v>
      </c>
      <c r="D12" s="4" t="n">
        <v>0.376818</v>
      </c>
      <c r="E12" s="4" t="n">
        <v>0.468038</v>
      </c>
      <c r="F12" s="4" t="n">
        <v>1.0302805</v>
      </c>
      <c r="G12" s="4" t="n">
        <v>0.00240719742990654</v>
      </c>
      <c r="H12" s="4" t="n">
        <v>12.3291781026626</v>
      </c>
      <c r="I12" s="3"/>
      <c r="J12" s="3"/>
      <c r="K12" s="3"/>
      <c r="L12" s="3" t="n">
        <v>1640</v>
      </c>
      <c r="M12" s="3" t="n">
        <f aca="false">(L12/C12)*D12</f>
        <v>1.44388205607477</v>
      </c>
      <c r="N12" s="3" t="n">
        <f aca="false">(L12/C12)*E12</f>
        <v>1.79341663551402</v>
      </c>
    </row>
    <row r="13" customFormat="false" ht="15" hidden="false" customHeight="false" outlineLevel="0" collapsed="false">
      <c r="A13" s="0" t="s">
        <v>21</v>
      </c>
      <c r="B13" s="0" t="s">
        <v>21</v>
      </c>
      <c r="C13" s="3" t="n">
        <v>429</v>
      </c>
      <c r="D13" s="4" t="n">
        <v>0.310125</v>
      </c>
      <c r="E13" s="4" t="n">
        <v>0.056405</v>
      </c>
      <c r="F13" s="4" t="n">
        <v>0.0535745</v>
      </c>
      <c r="G13" s="4" t="n">
        <v>0.000124882284382284</v>
      </c>
      <c r="H13" s="4" t="n">
        <v>1.5402144974484</v>
      </c>
      <c r="I13" s="3"/>
      <c r="J13" s="3"/>
      <c r="K13" s="3"/>
      <c r="L13" s="3" t="n">
        <v>1640</v>
      </c>
      <c r="M13" s="3" t="n">
        <f aca="false">(L13/C13)*D13</f>
        <v>1.18555944055944</v>
      </c>
      <c r="N13" s="3" t="n">
        <f aca="false">(L13/C13)*E13</f>
        <v>0.215627505827506</v>
      </c>
    </row>
    <row r="14" customFormat="false" ht="15" hidden="false" customHeight="false" outlineLevel="0" collapsed="false">
      <c r="A14" s="0" t="s">
        <v>22</v>
      </c>
      <c r="B14" s="0" t="s">
        <v>22</v>
      </c>
      <c r="C14" s="3" t="n">
        <v>427</v>
      </c>
      <c r="D14" s="4" t="n">
        <v>0.375938</v>
      </c>
      <c r="E14" s="4" t="n">
        <v>0.146048</v>
      </c>
      <c r="F14" s="4" t="n">
        <v>2.7025635</v>
      </c>
      <c r="G14" s="4" t="n">
        <v>0.00632918852459016</v>
      </c>
      <c r="H14" s="4" t="n">
        <v>8.901490541476</v>
      </c>
      <c r="I14" s="3"/>
      <c r="J14" s="3"/>
      <c r="K14" s="3"/>
      <c r="L14" s="3" t="n">
        <v>1640</v>
      </c>
      <c r="M14" s="3" t="n">
        <f aca="false">(L14/C14)*D14</f>
        <v>1.44388365339578</v>
      </c>
      <c r="N14" s="3" t="n">
        <f aca="false">(L14/C14)*E14</f>
        <v>0.560933770491803</v>
      </c>
    </row>
    <row r="15" customFormat="false" ht="15" hidden="false" customHeight="false" outlineLevel="0" collapsed="false">
      <c r="A15" s="0" t="s">
        <v>23</v>
      </c>
      <c r="B15" s="0" t="s">
        <v>23</v>
      </c>
      <c r="C15" s="3" t="n">
        <v>429</v>
      </c>
      <c r="D15" s="4" t="n">
        <v>0.310125</v>
      </c>
      <c r="E15" s="4" t="n">
        <v>0.04945</v>
      </c>
      <c r="F15" s="4" t="n">
        <v>0.038094375</v>
      </c>
      <c r="G15" s="4" t="n">
        <v>8.87980769230769E-005</v>
      </c>
      <c r="H15" s="4" t="n">
        <v>1.2959277791021</v>
      </c>
      <c r="I15" s="3"/>
      <c r="J15" s="3"/>
      <c r="K15" s="3"/>
      <c r="L15" s="3" t="n">
        <v>1640</v>
      </c>
      <c r="M15" s="3" t="n">
        <f aca="false">(L15/C15)*D15</f>
        <v>1.18555944055944</v>
      </c>
      <c r="N15" s="3" t="n">
        <f aca="false">(L15/C15)*E15</f>
        <v>0.189039627039627</v>
      </c>
    </row>
    <row r="16" customFormat="false" ht="15" hidden="false" customHeight="false" outlineLevel="0" collapsed="false">
      <c r="A16" s="0" t="s">
        <v>24</v>
      </c>
      <c r="B16" s="0" t="s">
        <v>24</v>
      </c>
      <c r="C16" s="3" t="n">
        <v>429</v>
      </c>
      <c r="D16" s="4" t="n">
        <v>0.701056</v>
      </c>
      <c r="E16" s="4" t="n">
        <v>0.078739</v>
      </c>
      <c r="F16" s="4" t="n">
        <v>1.07715422446032</v>
      </c>
      <c r="G16" s="4" t="n">
        <v>0.00251084900806602</v>
      </c>
      <c r="H16" s="4" t="n">
        <v>0.740845539630988</v>
      </c>
      <c r="I16" s="3"/>
      <c r="J16" s="3"/>
      <c r="K16" s="3"/>
      <c r="L16" s="3" t="n">
        <v>1640</v>
      </c>
      <c r="M16" s="3" t="n">
        <f aca="false">(L16/C16)*D16</f>
        <v>2.6800275990676</v>
      </c>
      <c r="N16" s="3" t="n">
        <f aca="false">(L16/C16)*E16</f>
        <v>0.3010068997669</v>
      </c>
    </row>
    <row r="17" customFormat="false" ht="15" hidden="false" customHeight="false" outlineLevel="0" collapsed="false">
      <c r="A17" s="0" t="s">
        <v>25</v>
      </c>
      <c r="B17" s="0" t="s">
        <v>25</v>
      </c>
      <c r="C17" s="3" t="n">
        <v>428</v>
      </c>
      <c r="D17" s="4" t="n">
        <v>0.601141</v>
      </c>
      <c r="E17" s="4" t="n">
        <v>0.091617</v>
      </c>
      <c r="F17" s="4" t="n">
        <v>2.35881963273068</v>
      </c>
      <c r="G17" s="4" t="n">
        <v>0.00551126082413711</v>
      </c>
      <c r="H17" s="4" t="n">
        <v>1.62614039561459</v>
      </c>
      <c r="I17" s="3"/>
      <c r="J17" s="3"/>
      <c r="K17" s="3"/>
      <c r="L17" s="3" t="n">
        <v>1640</v>
      </c>
      <c r="M17" s="3" t="n">
        <f aca="false">(L17/C17)*D17</f>
        <v>2.30343747663551</v>
      </c>
      <c r="N17" s="3" t="n">
        <f aca="false">(L17/C17)*E17</f>
        <v>0.351055794392523</v>
      </c>
    </row>
    <row r="18" customFormat="false" ht="15" hidden="false" customHeight="false" outlineLevel="0" collapsed="false">
      <c r="A18" s="0" t="s">
        <v>26</v>
      </c>
      <c r="B18" s="0" t="s">
        <v>27</v>
      </c>
      <c r="C18" s="3" t="n">
        <v>429</v>
      </c>
      <c r="D18" s="4" t="n">
        <v>0.101527</v>
      </c>
      <c r="E18" s="4" t="n">
        <v>0.05488</v>
      </c>
      <c r="F18" s="4" t="n">
        <v>0.716725743252039</v>
      </c>
      <c r="G18" s="4" t="n">
        <v>0.00160700839294179</v>
      </c>
      <c r="H18" s="4" t="n">
        <v>0.47416033231624</v>
      </c>
      <c r="I18" s="3"/>
      <c r="J18" s="3"/>
      <c r="K18" s="3"/>
      <c r="L18" s="3" t="n">
        <v>1640</v>
      </c>
      <c r="M18" s="3" t="n">
        <f aca="false">(L18/C18)*D18</f>
        <v>0.388121864801865</v>
      </c>
      <c r="N18" s="3" t="n">
        <f aca="false">(L18/C18)*E18</f>
        <v>0.209797668997669</v>
      </c>
    </row>
    <row r="19" customFormat="false" ht="15" hidden="false" customHeight="false" outlineLevel="0" collapsed="false">
      <c r="A19" s="0" t="s">
        <v>28</v>
      </c>
      <c r="B19" s="0" t="s">
        <v>28</v>
      </c>
      <c r="C19" s="3" t="n">
        <v>429</v>
      </c>
      <c r="D19" s="4" t="n">
        <v>0.579114</v>
      </c>
      <c r="E19" s="4" t="n">
        <v>0.076026</v>
      </c>
      <c r="F19" s="4" t="n">
        <v>2.18249728389462</v>
      </c>
      <c r="G19" s="4" t="n">
        <v>0.00508740625616461</v>
      </c>
      <c r="H19" s="4" t="n">
        <v>1.5010788068349</v>
      </c>
      <c r="I19" s="3"/>
      <c r="J19" s="3"/>
      <c r="K19" s="3"/>
      <c r="L19" s="3" t="n">
        <v>1640</v>
      </c>
      <c r="M19" s="3" t="n">
        <f aca="false">(L19/C19)*D19</f>
        <v>2.21386237762238</v>
      </c>
      <c r="N19" s="3" t="n">
        <f aca="false">(L19/C19)*E19</f>
        <v>0.290635524475524</v>
      </c>
    </row>
    <row r="20" customFormat="false" ht="15" hidden="false" customHeight="false" outlineLevel="0" collapsed="false">
      <c r="A20" s="0" t="s">
        <v>26</v>
      </c>
      <c r="B20" s="0" t="s">
        <v>29</v>
      </c>
      <c r="C20" s="3" t="n">
        <v>429</v>
      </c>
      <c r="D20" s="4" t="n">
        <v>0.101527</v>
      </c>
      <c r="E20" s="4" t="n">
        <v>0.05488</v>
      </c>
      <c r="F20" s="4" t="n">
        <v>0.542644663879275</v>
      </c>
      <c r="G20" s="4" t="n">
        <v>0.0012166920714782</v>
      </c>
      <c r="H20" s="4" t="n">
        <v>0.358994464168634</v>
      </c>
      <c r="I20" s="3"/>
      <c r="J20" s="3"/>
      <c r="K20" s="3"/>
      <c r="L20" s="3" t="n">
        <v>1640</v>
      </c>
      <c r="M20" s="3" t="n">
        <f aca="false">(L20/C20)*D20</f>
        <v>0.388121864801865</v>
      </c>
      <c r="N20" s="3" t="n">
        <f aca="false">(L20/C20)*E20</f>
        <v>0.209797668997669</v>
      </c>
    </row>
    <row r="21" customFormat="false" ht="15" hidden="false" customHeight="false" outlineLevel="0" collapsed="false">
      <c r="A21" s="0" t="s">
        <v>30</v>
      </c>
      <c r="B21" s="0" t="s">
        <v>27</v>
      </c>
      <c r="C21" s="3" t="n">
        <v>429</v>
      </c>
      <c r="D21" s="4" t="n">
        <v>0.101527</v>
      </c>
      <c r="E21" s="4" t="n">
        <v>0.034613</v>
      </c>
      <c r="F21" s="4" t="n">
        <v>0.561167942175667</v>
      </c>
      <c r="G21" s="4" t="n">
        <v>0.00125822408559567</v>
      </c>
      <c r="H21" s="4" t="n">
        <v>0.371248808142316</v>
      </c>
      <c r="I21" s="3"/>
      <c r="J21" s="3"/>
      <c r="K21" s="3"/>
      <c r="L21" s="3" t="n">
        <v>1640</v>
      </c>
      <c r="M21" s="3" t="n">
        <f aca="false">(L21/C21)*D21</f>
        <v>0.388121864801865</v>
      </c>
      <c r="N21" s="3" t="n">
        <f aca="false">(L21/C21)*E21</f>
        <v>0.132320093240093</v>
      </c>
    </row>
    <row r="22" customFormat="false" ht="15" hidden="false" customHeight="false" outlineLevel="0" collapsed="false">
      <c r="A22" s="0" t="s">
        <v>26</v>
      </c>
      <c r="B22" s="0" t="s">
        <v>31</v>
      </c>
      <c r="C22" s="3" t="n">
        <v>429</v>
      </c>
      <c r="D22" s="4" t="n">
        <v>0.101527</v>
      </c>
      <c r="E22" s="4" t="n">
        <v>0.05488</v>
      </c>
      <c r="F22" s="4" t="n">
        <v>0.549626626600623</v>
      </c>
      <c r="G22" s="4" t="n">
        <v>0.00123234669641395</v>
      </c>
      <c r="H22" s="4" t="n">
        <v>0.363613483082553</v>
      </c>
      <c r="I22" s="3"/>
      <c r="J22" s="3"/>
      <c r="K22" s="3"/>
      <c r="L22" s="3" t="n">
        <v>1640</v>
      </c>
      <c r="M22" s="3" t="n">
        <f aca="false">(L22/C22)*D22</f>
        <v>0.388121864801865</v>
      </c>
      <c r="N22" s="3" t="n">
        <f aca="false">(L22/C22)*E22</f>
        <v>0.209797668997669</v>
      </c>
    </row>
    <row r="23" customFormat="false" ht="15" hidden="false" customHeight="false" outlineLevel="0" collapsed="false">
      <c r="A23" s="0" t="s">
        <v>32</v>
      </c>
      <c r="B23" s="0" t="s">
        <v>27</v>
      </c>
      <c r="C23" s="3" t="n">
        <v>429</v>
      </c>
      <c r="D23" s="4" t="n">
        <v>0.101527</v>
      </c>
      <c r="E23" s="4" t="n">
        <v>0.043836</v>
      </c>
      <c r="F23" s="4" t="n">
        <v>0.597076675403516</v>
      </c>
      <c r="G23" s="4" t="n">
        <v>0.00133873694036663</v>
      </c>
      <c r="H23" s="4" t="n">
        <v>0.395004752505521</v>
      </c>
      <c r="I23" s="3"/>
      <c r="J23" s="3"/>
      <c r="K23" s="3"/>
      <c r="L23" s="3" t="n">
        <v>1640</v>
      </c>
      <c r="M23" s="3" t="n">
        <f aca="false">(L23/C23)*D23</f>
        <v>0.388121864801865</v>
      </c>
      <c r="N23" s="3" t="n">
        <f aca="false">(L23/C23)*E23</f>
        <v>0.167578181818182</v>
      </c>
    </row>
    <row r="24" customFormat="false" ht="15" hidden="false" customHeight="false" outlineLevel="0" collapsed="false">
      <c r="A24" s="0" t="s">
        <v>26</v>
      </c>
      <c r="B24" s="0" t="s">
        <v>33</v>
      </c>
      <c r="C24" s="3" t="n">
        <v>429</v>
      </c>
      <c r="D24" s="4" t="n">
        <v>0.101527</v>
      </c>
      <c r="E24" s="4" t="n">
        <v>0.05488</v>
      </c>
      <c r="F24" s="4" t="n">
        <v>0.544986269322833</v>
      </c>
      <c r="G24" s="4" t="n">
        <v>0.00122194230789873</v>
      </c>
      <c r="H24" s="4" t="n">
        <v>0.360543587282634</v>
      </c>
      <c r="I24" s="3"/>
      <c r="J24" s="3"/>
      <c r="K24" s="3"/>
      <c r="L24" s="3" t="n">
        <v>1640</v>
      </c>
      <c r="M24" s="3" t="n">
        <f aca="false">(L24/C24)*D24</f>
        <v>0.388121864801865</v>
      </c>
      <c r="N24" s="3" t="n">
        <f aca="false">(L24/C24)*E24</f>
        <v>0.209797668997669</v>
      </c>
    </row>
    <row r="25" customFormat="false" ht="15" hidden="false" customHeight="false" outlineLevel="0" collapsed="false">
      <c r="A25" s="0" t="s">
        <v>34</v>
      </c>
      <c r="B25" s="0" t="s">
        <v>34</v>
      </c>
      <c r="C25" s="3" t="n">
        <v>426</v>
      </c>
      <c r="D25" s="4" t="n">
        <v>0.37697</v>
      </c>
      <c r="E25" s="4" t="n">
        <v>0.061004</v>
      </c>
      <c r="F25" s="4" t="n">
        <v>0.0620986</v>
      </c>
      <c r="G25" s="4" t="n">
        <v>0.000145771361502347</v>
      </c>
      <c r="H25" s="4" t="n">
        <v>3.63049404833798</v>
      </c>
      <c r="I25" s="3"/>
      <c r="J25" s="3"/>
      <c r="K25" s="3"/>
      <c r="L25" s="3" t="n">
        <v>1640</v>
      </c>
      <c r="M25" s="3" t="n">
        <f aca="false">(L25/C25)*D25</f>
        <v>1.45124600938967</v>
      </c>
      <c r="N25" s="3" t="n">
        <f aca="false">(L25/C25)*E25</f>
        <v>0.234851079812207</v>
      </c>
    </row>
    <row r="26" customFormat="false" ht="15" hidden="false" customHeight="false" outlineLevel="0" collapsed="false">
      <c r="A26" s="0" t="s">
        <v>35</v>
      </c>
      <c r="B26" s="0" t="s">
        <v>35</v>
      </c>
      <c r="C26" s="3" t="n">
        <v>414</v>
      </c>
      <c r="D26" s="4" t="n">
        <v>0.363988</v>
      </c>
      <c r="E26" s="4" t="n">
        <v>1.229995</v>
      </c>
      <c r="F26" s="4" t="n">
        <v>0.5101974</v>
      </c>
      <c r="G26" s="4" t="n">
        <v>0.00123236086956522</v>
      </c>
      <c r="H26" s="4" t="n">
        <v>28.2110005490446</v>
      </c>
      <c r="I26" s="3"/>
      <c r="J26" s="3"/>
      <c r="K26" s="3"/>
      <c r="L26" s="3" t="n">
        <v>1640</v>
      </c>
      <c r="M26" s="3" t="n">
        <f aca="false">(L26/C26)*D26</f>
        <v>1.44188483091787</v>
      </c>
      <c r="N26" s="3" t="n">
        <f aca="false">(L26/C26)*E26</f>
        <v>4.87244396135266</v>
      </c>
    </row>
    <row r="27" customFormat="false" ht="15" hidden="false" customHeight="false" outlineLevel="0" collapsed="false">
      <c r="A27" s="0" t="s">
        <v>36</v>
      </c>
      <c r="B27" s="0" t="s">
        <v>36</v>
      </c>
      <c r="C27" s="3" t="n">
        <v>415</v>
      </c>
      <c r="D27" s="4" t="n">
        <v>0.633984</v>
      </c>
      <c r="E27" s="4" t="n">
        <v>0.079244</v>
      </c>
      <c r="F27" s="4" t="n">
        <v>1.62511220501324</v>
      </c>
      <c r="G27" s="4" t="n">
        <v>0.00391593302412828</v>
      </c>
      <c r="H27" s="4" t="n">
        <v>1.15542651314333</v>
      </c>
      <c r="I27" s="3"/>
      <c r="J27" s="3"/>
      <c r="K27" s="3"/>
      <c r="L27" s="3" t="n">
        <v>1640</v>
      </c>
      <c r="M27" s="3" t="n">
        <f aca="false">(L27/C27)*D27</f>
        <v>2.50538255421687</v>
      </c>
      <c r="N27" s="3" t="n">
        <f aca="false">(L27/C27)*E27</f>
        <v>0.313157012048193</v>
      </c>
    </row>
    <row r="28" customFormat="false" ht="15" hidden="false" customHeight="false" outlineLevel="0" collapsed="false">
      <c r="A28" s="0" t="s">
        <v>37</v>
      </c>
      <c r="B28" s="0" t="s">
        <v>37</v>
      </c>
      <c r="C28" s="3" t="n">
        <v>429</v>
      </c>
      <c r="D28" s="4" t="n">
        <v>0.649907</v>
      </c>
      <c r="E28" s="4" t="n">
        <v>0.097013</v>
      </c>
      <c r="F28" s="4" t="n">
        <v>1.06424744602283</v>
      </c>
      <c r="G28" s="4" t="n">
        <v>0.00248076327744249</v>
      </c>
      <c r="H28" s="4" t="n">
        <v>0.731968510678876</v>
      </c>
      <c r="I28" s="3"/>
      <c r="J28" s="3"/>
      <c r="K28" s="3"/>
      <c r="L28" s="3" t="n">
        <v>1640</v>
      </c>
      <c r="M28" s="3" t="n">
        <f aca="false">(L28/C28)*D28</f>
        <v>2.48449296037296</v>
      </c>
      <c r="N28" s="3" t="n">
        <f aca="false">(L28/C28)*E28</f>
        <v>0.370865547785548</v>
      </c>
    </row>
    <row r="29" customFormat="false" ht="15" hidden="false" customHeight="false" outlineLevel="0" collapsed="false">
      <c r="A29" s="0" t="s">
        <v>38</v>
      </c>
      <c r="B29" s="0" t="s">
        <v>38</v>
      </c>
      <c r="C29" s="3" t="n">
        <v>429</v>
      </c>
      <c r="D29" s="4" t="n">
        <v>0.682469</v>
      </c>
      <c r="E29" s="4" t="n">
        <v>0.070406</v>
      </c>
      <c r="F29" s="4" t="n">
        <v>0.754345821801225</v>
      </c>
      <c r="G29" s="4" t="n">
        <v>0.00175838186900053</v>
      </c>
      <c r="H29" s="4" t="n">
        <v>0.518824254438316</v>
      </c>
      <c r="I29" s="3"/>
      <c r="J29" s="3"/>
      <c r="K29" s="3"/>
      <c r="L29" s="3" t="n">
        <v>1640</v>
      </c>
      <c r="M29" s="3" t="n">
        <f aca="false">(L29/C29)*D29</f>
        <v>2.6089724009324</v>
      </c>
      <c r="N29" s="3" t="n">
        <f aca="false">(L29/C29)*E29</f>
        <v>0.269151142191142</v>
      </c>
    </row>
    <row r="30" customFormat="false" ht="15" hidden="false" customHeight="false" outlineLevel="0" collapsed="false">
      <c r="A30" s="0" t="s">
        <v>39</v>
      </c>
      <c r="B30" s="0" t="s">
        <v>39</v>
      </c>
      <c r="C30" s="3" t="n">
        <v>414</v>
      </c>
      <c r="D30" s="4" t="n">
        <v>0.364033</v>
      </c>
      <c r="E30" s="4" t="n">
        <v>0.65009</v>
      </c>
      <c r="F30" s="4" t="n">
        <v>3.2608323</v>
      </c>
      <c r="G30" s="4" t="n">
        <v>0.00787640652173913</v>
      </c>
      <c r="H30" s="4" t="n">
        <v>13.1541269073164</v>
      </c>
      <c r="I30" s="3"/>
      <c r="J30" s="3"/>
      <c r="K30" s="3"/>
      <c r="L30" s="3" t="n">
        <v>1640</v>
      </c>
      <c r="M30" s="3" t="n">
        <f aca="false">(L30/C30)*D30</f>
        <v>1.44206309178744</v>
      </c>
      <c r="N30" s="3" t="n">
        <f aca="false">(L30/C30)*E30</f>
        <v>2.57523574879227</v>
      </c>
    </row>
    <row r="31" customFormat="false" ht="15" hidden="false" customHeight="false" outlineLevel="0" collapsed="false">
      <c r="C31" s="3"/>
      <c r="D31" s="4"/>
      <c r="E31" s="4"/>
      <c r="F31" s="4"/>
      <c r="G31" s="4"/>
      <c r="H31" s="4"/>
      <c r="I31" s="3"/>
      <c r="J31" s="3"/>
      <c r="K31" s="3"/>
      <c r="L31" s="5" t="s">
        <v>40</v>
      </c>
      <c r="M31" s="3" t="n">
        <f aca="false">MAX(M2:M30)</f>
        <v>2.6800275990676</v>
      </c>
      <c r="N31" s="3" t="n">
        <f aca="false">MAX(N2:N30)</f>
        <v>4.87244396135266</v>
      </c>
    </row>
    <row r="32" customFormat="false" ht="15" hidden="false" customHeight="false" outlineLevel="0" collapsed="false">
      <c r="C32" s="3"/>
      <c r="D32" s="4"/>
      <c r="E32" s="4"/>
      <c r="F32" s="4"/>
      <c r="G32" s="4"/>
      <c r="H32" s="4"/>
      <c r="I32" s="3"/>
      <c r="J32" s="3"/>
      <c r="K32" s="3"/>
      <c r="L32" s="6" t="s">
        <v>41</v>
      </c>
      <c r="M32" s="0" t="n">
        <f aca="false">AVERAGE(M2:M30)</f>
        <v>1.39560808341844</v>
      </c>
      <c r="N32" s="0" t="n">
        <f aca="false">AVERAGE(N2:N30)</f>
        <v>0.572716816140591</v>
      </c>
    </row>
    <row r="33" customFormat="false" ht="15" hidden="false" customHeight="false" outlineLevel="0" collapsed="false">
      <c r="C33" s="3"/>
      <c r="D33" s="4"/>
      <c r="E33" s="4"/>
      <c r="F33" s="4"/>
      <c r="G33" s="4"/>
      <c r="H33" s="4"/>
      <c r="I33" s="3"/>
      <c r="J33" s="3"/>
      <c r="K33" s="3"/>
      <c r="L33" s="5" t="s">
        <v>42</v>
      </c>
      <c r="M33" s="3" t="n">
        <f aca="false">MIN(M2:M30)</f>
        <v>0.388121864801865</v>
      </c>
      <c r="N33" s="3" t="n">
        <f aca="false">MIN(N2:N30)</f>
        <v>0.132320093240093</v>
      </c>
    </row>
    <row r="34" customFormat="false" ht="15" hidden="false" customHeight="false" outlineLevel="0" collapsed="false">
      <c r="C34" s="3"/>
      <c r="D34" s="4"/>
      <c r="E34" s="4"/>
      <c r="F34" s="4"/>
      <c r="G34" s="4"/>
      <c r="H34" s="4"/>
      <c r="I34" s="3"/>
      <c r="J34" s="3"/>
      <c r="K34" s="3"/>
      <c r="L34" s="3"/>
      <c r="M34" s="3"/>
      <c r="N34" s="3"/>
    </row>
    <row r="35" customFormat="false" ht="15" hidden="false" customHeight="false" outlineLevel="0" collapsed="false">
      <c r="C35" s="3"/>
      <c r="D35" s="4"/>
      <c r="E35" s="4"/>
      <c r="F35" s="4"/>
      <c r="G35" s="4"/>
      <c r="H35" s="4"/>
      <c r="I35" s="3"/>
      <c r="J35" s="3"/>
      <c r="K35" s="3"/>
      <c r="L35" s="3"/>
      <c r="M35" s="3"/>
      <c r="N35" s="3"/>
    </row>
    <row r="41" customFormat="false" ht="15" hidden="false" customHeight="false" outlineLevel="0" collapsed="false">
      <c r="C41" s="3"/>
      <c r="D41" s="4"/>
      <c r="E41" s="4"/>
      <c r="F41" s="4"/>
      <c r="G41" s="4"/>
      <c r="H41" s="4"/>
      <c r="I41" s="3"/>
      <c r="J41" s="3"/>
      <c r="K41" s="3"/>
      <c r="L41" s="3"/>
      <c r="M41" s="3"/>
      <c r="N41" s="3"/>
    </row>
    <row r="42" customFormat="false" ht="15" hidden="false" customHeight="false" outlineLevel="0" collapsed="false">
      <c r="C42" s="3"/>
      <c r="D42" s="4"/>
      <c r="E42" s="4"/>
      <c r="F42" s="4"/>
      <c r="G42" s="4"/>
      <c r="H42" s="4"/>
      <c r="I42" s="3"/>
      <c r="J42" s="3"/>
      <c r="K42" s="3"/>
      <c r="L42" s="3"/>
      <c r="M42" s="3"/>
      <c r="N42" s="3"/>
    </row>
    <row r="43" customFormat="false" ht="15" hidden="false" customHeight="false" outlineLevel="0" collapsed="false">
      <c r="C43" s="3"/>
      <c r="D43" s="4"/>
      <c r="E43" s="4"/>
      <c r="F43" s="4"/>
      <c r="G43" s="4"/>
      <c r="H43" s="4"/>
      <c r="I43" s="3"/>
      <c r="J43" s="3"/>
      <c r="K43" s="3"/>
      <c r="L43" s="3"/>
      <c r="M43" s="3"/>
      <c r="N43" s="3"/>
    </row>
    <row r="44" customFormat="false" ht="15" hidden="false" customHeight="false" outlineLevel="0" collapsed="false">
      <c r="C44" s="3"/>
      <c r="D44" s="4"/>
      <c r="E44" s="4"/>
      <c r="F44" s="4"/>
      <c r="G44" s="4"/>
      <c r="H44" s="4"/>
      <c r="I44" s="3"/>
      <c r="J44" s="3"/>
      <c r="K44" s="3"/>
      <c r="L44" s="3"/>
      <c r="M44" s="3"/>
      <c r="N44" s="3"/>
    </row>
    <row r="45" customFormat="false" ht="15" hidden="false" customHeight="false" outlineLevel="0" collapsed="false">
      <c r="C45" s="3"/>
      <c r="D45" s="4"/>
      <c r="E45" s="4"/>
      <c r="F45" s="4"/>
      <c r="G45" s="4"/>
      <c r="H45" s="4"/>
      <c r="I45" s="3"/>
      <c r="J45" s="3"/>
      <c r="K45" s="3"/>
      <c r="L45" s="3"/>
      <c r="M45" s="3"/>
      <c r="N45" s="3"/>
    </row>
    <row r="46" customFormat="false" ht="15" hidden="false" customHeight="false" outlineLevel="0" collapsed="false">
      <c r="C46" s="3"/>
      <c r="D46" s="4"/>
      <c r="E46" s="4"/>
      <c r="F46" s="4"/>
      <c r="G46" s="4"/>
      <c r="H46" s="4"/>
      <c r="I46" s="3"/>
      <c r="J46" s="3"/>
      <c r="K46" s="3"/>
      <c r="L46" s="3"/>
      <c r="M46" s="3"/>
      <c r="N46" s="3"/>
    </row>
    <row r="47" customFormat="false" ht="15" hidden="false" customHeight="false" outlineLevel="0" collapsed="false">
      <c r="C47" s="3"/>
      <c r="D47" s="4"/>
      <c r="E47" s="4"/>
      <c r="F47" s="4"/>
      <c r="G47" s="4"/>
      <c r="H47" s="4"/>
      <c r="I47" s="3"/>
      <c r="J47" s="3"/>
      <c r="K47" s="3"/>
      <c r="L47" s="3"/>
      <c r="M47" s="3"/>
      <c r="N47" s="3"/>
    </row>
    <row r="48" customFormat="false" ht="15" hidden="false" customHeight="false" outlineLevel="0" collapsed="false">
      <c r="C48" s="3"/>
      <c r="D48" s="4"/>
      <c r="E48" s="4"/>
      <c r="F48" s="4"/>
      <c r="G48" s="4"/>
      <c r="H48" s="4"/>
      <c r="I48" s="3"/>
      <c r="J48" s="3"/>
      <c r="K48" s="3"/>
      <c r="L48" s="3"/>
      <c r="M48" s="3"/>
      <c r="N48" s="3"/>
    </row>
    <row r="49" customFormat="false" ht="15" hidden="false" customHeight="false" outlineLevel="0" collapsed="false">
      <c r="C49" s="3"/>
      <c r="D49" s="4"/>
      <c r="E49" s="4"/>
      <c r="F49" s="4"/>
      <c r="G49" s="4"/>
      <c r="H49" s="4"/>
      <c r="I49" s="3"/>
      <c r="J49" s="3"/>
      <c r="K49" s="3"/>
      <c r="L49" s="3"/>
      <c r="M49" s="3"/>
      <c r="N49" s="3"/>
    </row>
    <row r="50" customFormat="false" ht="15" hidden="false" customHeight="false" outlineLevel="0" collapsed="false">
      <c r="C50" s="3"/>
      <c r="D50" s="4"/>
      <c r="E50" s="4"/>
      <c r="F50" s="4"/>
      <c r="G50" s="4"/>
      <c r="H50" s="4"/>
      <c r="I50" s="3"/>
      <c r="J50" s="3"/>
      <c r="K50" s="3"/>
      <c r="L50" s="3"/>
      <c r="M50" s="3"/>
      <c r="N50" s="3"/>
    </row>
    <row r="51" customFormat="false" ht="15" hidden="false" customHeight="false" outlineLevel="0" collapsed="false">
      <c r="C51" s="3"/>
      <c r="D51" s="4"/>
      <c r="E51" s="4"/>
      <c r="F51" s="4"/>
      <c r="G51" s="4"/>
      <c r="H51" s="4"/>
      <c r="I51" s="3"/>
      <c r="J51" s="3"/>
      <c r="K51" s="3"/>
      <c r="L51" s="3"/>
      <c r="M51" s="3"/>
      <c r="N51" s="3"/>
    </row>
    <row r="52" customFormat="false" ht="15" hidden="false" customHeight="false" outlineLevel="0" collapsed="false">
      <c r="C52" s="3"/>
      <c r="D52" s="4"/>
      <c r="E52" s="4"/>
      <c r="F52" s="4"/>
      <c r="G52" s="4"/>
      <c r="H52" s="4"/>
      <c r="I52" s="3"/>
      <c r="J52" s="3"/>
      <c r="K52" s="3"/>
      <c r="L52" s="3"/>
      <c r="M52" s="3"/>
      <c r="N52" s="3"/>
    </row>
    <row r="53" customFormat="false" ht="15" hidden="false" customHeight="false" outlineLevel="0" collapsed="false">
      <c r="C53" s="3"/>
      <c r="D53" s="4"/>
      <c r="E53" s="4"/>
      <c r="F53" s="4"/>
      <c r="G53" s="4"/>
      <c r="H53" s="4"/>
      <c r="I53" s="3"/>
      <c r="J53" s="3"/>
      <c r="K53" s="3"/>
      <c r="L53" s="3"/>
      <c r="M53" s="3"/>
      <c r="N53" s="3"/>
    </row>
    <row r="54" customFormat="false" ht="15" hidden="false" customHeight="false" outlineLevel="0" collapsed="false">
      <c r="C54" s="3"/>
      <c r="D54" s="4"/>
      <c r="E54" s="4"/>
      <c r="F54" s="4"/>
      <c r="G54" s="4"/>
      <c r="H54" s="4"/>
      <c r="I54" s="3"/>
      <c r="J54" s="3"/>
      <c r="K54" s="3"/>
      <c r="L54" s="3"/>
      <c r="M54" s="3"/>
      <c r="N54" s="3"/>
    </row>
    <row r="59" customFormat="false" ht="15" hidden="false" customHeight="false" outlineLevel="0" collapsed="false">
      <c r="C59" s="3"/>
      <c r="D59" s="4"/>
      <c r="E59" s="4"/>
      <c r="F59" s="4"/>
      <c r="G59" s="4"/>
      <c r="H59" s="4"/>
      <c r="I59" s="3"/>
      <c r="J59" s="3"/>
      <c r="K59" s="3"/>
      <c r="L59" s="3"/>
      <c r="M59" s="3"/>
      <c r="N59" s="3"/>
    </row>
    <row r="60" customFormat="false" ht="15" hidden="false" customHeight="false" outlineLevel="0" collapsed="false">
      <c r="C60" s="3"/>
      <c r="D60" s="4"/>
      <c r="E60" s="4"/>
      <c r="F60" s="4"/>
      <c r="G60" s="4"/>
      <c r="H60" s="4"/>
      <c r="I60" s="3"/>
      <c r="J60" s="3"/>
      <c r="K60" s="3"/>
      <c r="L60" s="3"/>
      <c r="M60" s="3"/>
      <c r="N60" s="3"/>
    </row>
    <row r="61" customFormat="false" ht="15" hidden="false" customHeight="false" outlineLevel="0" collapsed="false">
      <c r="C61" s="3"/>
      <c r="D61" s="4"/>
      <c r="E61" s="4"/>
      <c r="F61" s="4"/>
      <c r="G61" s="4"/>
      <c r="H61" s="4"/>
      <c r="I61" s="3"/>
      <c r="J61" s="3"/>
      <c r="K61" s="3"/>
      <c r="L61" s="3"/>
      <c r="M61" s="3"/>
      <c r="N61" s="3"/>
    </row>
    <row r="62" customFormat="false" ht="15" hidden="false" customHeight="false" outlineLevel="0" collapsed="false">
      <c r="C62" s="3"/>
      <c r="D62" s="4"/>
      <c r="E62" s="4"/>
      <c r="F62" s="4"/>
      <c r="G62" s="4"/>
      <c r="H62" s="4"/>
      <c r="I62" s="3"/>
      <c r="J62" s="3"/>
      <c r="K62" s="3"/>
      <c r="L62" s="3"/>
      <c r="M62" s="3"/>
      <c r="N62" s="3"/>
    </row>
    <row r="63" customFormat="false" ht="15" hidden="false" customHeight="false" outlineLevel="0" collapsed="false">
      <c r="C63" s="3"/>
      <c r="D63" s="4"/>
      <c r="E63" s="4"/>
      <c r="F63" s="4"/>
      <c r="G63" s="4"/>
      <c r="H63" s="4"/>
      <c r="I63" s="3"/>
      <c r="J63" s="3"/>
      <c r="K63" s="3"/>
      <c r="L63" s="3"/>
      <c r="M63" s="3"/>
      <c r="N63" s="3"/>
    </row>
    <row r="64" customFormat="false" ht="15" hidden="false" customHeight="false" outlineLevel="0" collapsed="false">
      <c r="C64" s="3"/>
      <c r="D64" s="4"/>
      <c r="E64" s="4"/>
      <c r="F64" s="4"/>
      <c r="G64" s="4"/>
      <c r="H64" s="4"/>
      <c r="I64" s="3"/>
      <c r="J64" s="3"/>
      <c r="K64" s="3"/>
      <c r="L64" s="3"/>
      <c r="M64" s="3"/>
      <c r="N64" s="3"/>
    </row>
    <row r="65" customFormat="false" ht="15" hidden="false" customHeight="false" outlineLevel="0" collapsed="false">
      <c r="C65" s="3"/>
      <c r="D65" s="4"/>
      <c r="E65" s="4"/>
      <c r="F65" s="4"/>
      <c r="G65" s="4"/>
      <c r="H65" s="4"/>
      <c r="I65" s="3"/>
      <c r="J65" s="3"/>
      <c r="K65" s="3"/>
      <c r="L65" s="3"/>
      <c r="M65" s="3"/>
      <c r="N65" s="3"/>
    </row>
    <row r="66" customFormat="false" ht="15" hidden="false" customHeight="false" outlineLevel="0" collapsed="false">
      <c r="C66" s="3"/>
      <c r="D66" s="4"/>
      <c r="E66" s="4"/>
      <c r="F66" s="4"/>
      <c r="G66" s="4"/>
      <c r="H66" s="4"/>
      <c r="I66" s="3"/>
      <c r="J66" s="3"/>
      <c r="K66" s="3"/>
      <c r="L66" s="3"/>
      <c r="M66" s="3"/>
      <c r="N66" s="3"/>
    </row>
    <row r="67" customFormat="false" ht="15" hidden="false" customHeight="false" outlineLevel="0" collapsed="false">
      <c r="C67" s="3"/>
      <c r="D67" s="4"/>
      <c r="E67" s="4"/>
      <c r="F67" s="4"/>
      <c r="G67" s="4"/>
      <c r="H67" s="4"/>
      <c r="I67" s="3"/>
      <c r="J67" s="3"/>
      <c r="K67" s="3"/>
      <c r="L67" s="3"/>
      <c r="M67" s="3"/>
      <c r="N67" s="3"/>
    </row>
    <row r="68" customFormat="false" ht="15" hidden="false" customHeight="false" outlineLevel="0" collapsed="false">
      <c r="C68" s="3"/>
      <c r="D68" s="4"/>
      <c r="E68" s="4"/>
      <c r="F68" s="4"/>
      <c r="G68" s="4"/>
      <c r="H68" s="4"/>
      <c r="I68" s="3"/>
      <c r="J68" s="3"/>
      <c r="K68" s="3"/>
      <c r="L68" s="3"/>
      <c r="M68" s="3"/>
      <c r="N68" s="3"/>
    </row>
    <row r="69" customFormat="false" ht="15" hidden="false" customHeight="false" outlineLevel="0" collapsed="false">
      <c r="C69" s="3"/>
      <c r="D69" s="4"/>
      <c r="E69" s="4"/>
      <c r="F69" s="4"/>
      <c r="G69" s="4"/>
      <c r="H69" s="4"/>
      <c r="I69" s="3"/>
      <c r="J69" s="3"/>
      <c r="K69" s="3"/>
      <c r="L69" s="3"/>
      <c r="M69" s="3"/>
      <c r="N69" s="3"/>
    </row>
    <row r="70" customFormat="false" ht="15" hidden="false" customHeight="false" outlineLevel="0" collapsed="false">
      <c r="C70" s="3"/>
      <c r="D70" s="4"/>
      <c r="E70" s="4"/>
      <c r="F70" s="4"/>
      <c r="G70" s="4"/>
      <c r="H70" s="4"/>
      <c r="I70" s="3"/>
      <c r="J70" s="3"/>
      <c r="K70" s="3"/>
      <c r="L70" s="3"/>
      <c r="M70" s="3"/>
      <c r="N70" s="3"/>
    </row>
    <row r="71" customFormat="false" ht="15" hidden="false" customHeight="false" outlineLevel="0" collapsed="false">
      <c r="C71" s="3"/>
      <c r="D71" s="4"/>
      <c r="E71" s="4"/>
      <c r="F71" s="4"/>
      <c r="G71" s="4"/>
      <c r="H71" s="4"/>
      <c r="I71" s="3"/>
      <c r="J71" s="3"/>
      <c r="K71" s="3"/>
      <c r="L71" s="3"/>
      <c r="M71" s="3"/>
      <c r="N71" s="3"/>
    </row>
    <row r="75" customFormat="false" ht="15" hidden="false" customHeight="false" outlineLevel="0" collapsed="false">
      <c r="C75" s="3"/>
      <c r="D75" s="4"/>
      <c r="E75" s="4"/>
      <c r="F75" s="4"/>
      <c r="G75" s="4"/>
      <c r="H75" s="4"/>
      <c r="I75" s="3"/>
      <c r="J75" s="3"/>
      <c r="K75" s="3"/>
      <c r="L75" s="3"/>
      <c r="M75" s="3"/>
      <c r="N75" s="3"/>
    </row>
    <row r="76" customFormat="false" ht="15" hidden="false" customHeight="false" outlineLevel="0" collapsed="false">
      <c r="C76" s="3"/>
      <c r="D76" s="4"/>
      <c r="E76" s="4"/>
      <c r="F76" s="4"/>
      <c r="G76" s="4"/>
      <c r="H76" s="4"/>
      <c r="I76" s="3"/>
      <c r="J76" s="3"/>
      <c r="K76" s="3"/>
      <c r="L76" s="3"/>
      <c r="M76" s="3"/>
      <c r="N76" s="3"/>
    </row>
    <row r="77" customFormat="false" ht="15" hidden="false" customHeight="false" outlineLevel="0" collapsed="false">
      <c r="C77" s="3"/>
      <c r="D77" s="4"/>
      <c r="E77" s="4"/>
      <c r="F77" s="4"/>
      <c r="G77" s="4"/>
      <c r="H77" s="4"/>
      <c r="I77" s="3"/>
      <c r="J77" s="3"/>
      <c r="K77" s="3"/>
      <c r="L77" s="3"/>
      <c r="M77" s="3"/>
      <c r="N77" s="3"/>
    </row>
    <row r="78" customFormat="false" ht="15" hidden="false" customHeight="false" outlineLevel="0" collapsed="false">
      <c r="C78" s="3"/>
      <c r="D78" s="4"/>
      <c r="E78" s="4"/>
      <c r="F78" s="4"/>
      <c r="G78" s="4"/>
      <c r="H78" s="4"/>
      <c r="I78" s="3"/>
      <c r="J78" s="3"/>
      <c r="K78" s="3"/>
      <c r="L78" s="3"/>
      <c r="M78" s="3"/>
      <c r="N78" s="3"/>
    </row>
    <row r="79" customFormat="false" ht="15" hidden="false" customHeight="false" outlineLevel="0" collapsed="false">
      <c r="C79" s="3"/>
      <c r="D79" s="4"/>
      <c r="E79" s="4"/>
      <c r="F79" s="4"/>
      <c r="G79" s="4"/>
      <c r="H79" s="4"/>
      <c r="I79" s="3"/>
      <c r="J79" s="3"/>
      <c r="K79" s="3"/>
      <c r="L79" s="3"/>
      <c r="M79" s="3"/>
      <c r="N79" s="3"/>
    </row>
    <row r="80" customFormat="false" ht="15" hidden="false" customHeight="false" outlineLevel="0" collapsed="false">
      <c r="C80" s="3"/>
      <c r="D80" s="4"/>
      <c r="E80" s="4"/>
      <c r="F80" s="4"/>
      <c r="G80" s="4"/>
      <c r="H80" s="4"/>
      <c r="I80" s="3"/>
      <c r="J80" s="3"/>
      <c r="K80" s="3"/>
      <c r="L80" s="3"/>
      <c r="M80" s="3"/>
      <c r="N80" s="3"/>
    </row>
    <row r="81" customFormat="false" ht="15" hidden="false" customHeight="false" outlineLevel="0" collapsed="false">
      <c r="C81" s="3"/>
      <c r="D81" s="4"/>
      <c r="E81" s="4"/>
      <c r="F81" s="4"/>
      <c r="G81" s="4"/>
      <c r="H81" s="4"/>
      <c r="I81" s="3"/>
      <c r="J81" s="3"/>
      <c r="K81" s="3"/>
      <c r="L81" s="3"/>
      <c r="M81" s="3"/>
      <c r="N81" s="3"/>
    </row>
    <row r="82" customFormat="false" ht="15" hidden="false" customHeight="false" outlineLevel="0" collapsed="false">
      <c r="C82" s="3"/>
      <c r="D82" s="4"/>
      <c r="E82" s="4"/>
      <c r="F82" s="4"/>
      <c r="G82" s="4"/>
      <c r="H82" s="4"/>
      <c r="I82" s="3"/>
      <c r="J82" s="3"/>
      <c r="K82" s="3"/>
      <c r="L82" s="3"/>
      <c r="M82" s="3"/>
      <c r="N82" s="3"/>
    </row>
    <row r="85" customFormat="false" ht="15" hidden="false" customHeight="false" outlineLevel="0" collapsed="false">
      <c r="C85" s="3"/>
      <c r="D85" s="4"/>
      <c r="E85" s="4"/>
      <c r="F85" s="4"/>
      <c r="G85" s="4"/>
      <c r="H85" s="4"/>
      <c r="I85" s="3"/>
      <c r="J85" s="3"/>
      <c r="K85" s="3"/>
      <c r="L85" s="3"/>
      <c r="M85" s="3"/>
      <c r="N85" s="3"/>
    </row>
    <row r="86" customFormat="false" ht="15" hidden="false" customHeight="false" outlineLevel="0" collapsed="false">
      <c r="C86" s="3"/>
      <c r="D86" s="4"/>
      <c r="E86" s="4"/>
      <c r="F86" s="4"/>
      <c r="G86" s="4"/>
      <c r="H86" s="4"/>
      <c r="I86" s="3"/>
      <c r="J86" s="3"/>
      <c r="K86" s="3"/>
      <c r="L86" s="3"/>
      <c r="M86" s="3"/>
      <c r="N86" s="3"/>
    </row>
    <row r="87" customFormat="false" ht="15" hidden="false" customHeight="false" outlineLevel="0" collapsed="false">
      <c r="C87" s="3"/>
      <c r="D87" s="4"/>
      <c r="E87" s="4"/>
      <c r="F87" s="4"/>
      <c r="G87" s="4"/>
      <c r="H87" s="4"/>
      <c r="I87" s="3"/>
      <c r="J87" s="3"/>
      <c r="K87" s="3"/>
      <c r="L87" s="3"/>
      <c r="M87" s="3"/>
      <c r="N87" s="3"/>
    </row>
    <row r="88" customFormat="false" ht="15" hidden="false" customHeight="false" outlineLevel="0" collapsed="false">
      <c r="C88" s="3"/>
      <c r="D88" s="4"/>
      <c r="E88" s="4"/>
      <c r="F88" s="4"/>
      <c r="G88" s="4"/>
      <c r="H88" s="4"/>
      <c r="I88" s="3"/>
      <c r="J88" s="3"/>
      <c r="K88" s="3"/>
      <c r="L88" s="3"/>
      <c r="M88" s="3"/>
      <c r="N88" s="3"/>
    </row>
    <row r="89" customFormat="false" ht="15" hidden="false" customHeight="false" outlineLevel="0" collapsed="false">
      <c r="C89" s="3"/>
      <c r="D89" s="4"/>
      <c r="E89" s="4"/>
      <c r="F89" s="4"/>
      <c r="G89" s="4"/>
      <c r="H89" s="4"/>
      <c r="I89" s="3"/>
      <c r="J89" s="3"/>
      <c r="K89" s="3"/>
      <c r="L89" s="3"/>
      <c r="M89" s="3"/>
      <c r="N89" s="3"/>
    </row>
    <row r="90" customFormat="false" ht="15" hidden="false" customHeight="false" outlineLevel="0" collapsed="false">
      <c r="C90" s="3"/>
      <c r="D90" s="4"/>
      <c r="E90" s="4"/>
      <c r="F90" s="4"/>
      <c r="G90" s="4"/>
      <c r="H90" s="4"/>
      <c r="I90" s="3"/>
      <c r="J90" s="3"/>
      <c r="K90" s="3"/>
      <c r="L90" s="3"/>
      <c r="M90" s="3"/>
      <c r="N90" s="3"/>
    </row>
    <row r="91" customFormat="false" ht="15" hidden="false" customHeight="false" outlineLevel="0" collapsed="false">
      <c r="C91" s="3"/>
      <c r="D91" s="4"/>
      <c r="E91" s="4"/>
      <c r="F91" s="4"/>
      <c r="G91" s="4"/>
      <c r="H91" s="4"/>
      <c r="I91" s="3"/>
      <c r="J91" s="3"/>
      <c r="K91" s="3"/>
      <c r="L91" s="3"/>
      <c r="M91" s="3"/>
      <c r="N91" s="3"/>
    </row>
    <row r="92" customFormat="false" ht="15" hidden="false" customHeight="false" outlineLevel="0" collapsed="false">
      <c r="C92" s="3"/>
      <c r="D92" s="4"/>
      <c r="E92" s="4"/>
      <c r="F92" s="4"/>
      <c r="G92" s="4"/>
      <c r="H92" s="4"/>
      <c r="I92" s="3"/>
      <c r="J92" s="3"/>
      <c r="K92" s="3"/>
      <c r="L92" s="3"/>
      <c r="M92" s="3"/>
      <c r="N92" s="3"/>
    </row>
    <row r="93" customFormat="false" ht="15" hidden="false" customHeight="false" outlineLevel="0" collapsed="false">
      <c r="C93" s="3"/>
      <c r="D93" s="4"/>
      <c r="E93" s="4"/>
      <c r="F93" s="4"/>
      <c r="G93" s="4"/>
      <c r="H93" s="4"/>
      <c r="I93" s="3"/>
      <c r="J93" s="3"/>
      <c r="K93" s="3"/>
      <c r="L93" s="3"/>
      <c r="M93" s="3"/>
      <c r="N93" s="3"/>
    </row>
    <row r="94" customFormat="false" ht="15" hidden="false" customHeight="false" outlineLevel="0" collapsed="false">
      <c r="C94" s="3"/>
      <c r="D94" s="4"/>
      <c r="E94" s="4"/>
      <c r="F94" s="4"/>
      <c r="G94" s="4"/>
      <c r="H94" s="4"/>
      <c r="I94" s="3"/>
      <c r="J94" s="3"/>
      <c r="K94" s="3"/>
      <c r="L94" s="3"/>
      <c r="M94" s="3"/>
      <c r="N94" s="3"/>
    </row>
    <row r="95" customFormat="false" ht="15" hidden="false" customHeight="false" outlineLevel="0" collapsed="false">
      <c r="C95" s="3"/>
      <c r="D95" s="4"/>
      <c r="E95" s="4"/>
      <c r="F95" s="4"/>
      <c r="G95" s="4"/>
      <c r="H95" s="4"/>
      <c r="I95" s="3"/>
      <c r="J95" s="3"/>
      <c r="K95" s="3"/>
      <c r="L95" s="3"/>
      <c r="M95" s="3"/>
      <c r="N95" s="3"/>
    </row>
    <row r="96" customFormat="false" ht="15" hidden="false" customHeight="false" outlineLevel="0" collapsed="false">
      <c r="C96" s="3"/>
      <c r="D96" s="4"/>
      <c r="E96" s="4"/>
      <c r="F96" s="4"/>
      <c r="G96" s="4"/>
      <c r="H96" s="4"/>
      <c r="I96" s="3"/>
      <c r="J96" s="3"/>
      <c r="K96" s="3"/>
      <c r="L96" s="3"/>
      <c r="M96" s="3"/>
      <c r="N96" s="3"/>
    </row>
    <row r="97" customFormat="false" ht="15" hidden="false" customHeight="false" outlineLevel="0" collapsed="false">
      <c r="C97" s="3"/>
      <c r="D97" s="4"/>
      <c r="E97" s="4"/>
      <c r="F97" s="4"/>
      <c r="G97" s="4"/>
      <c r="H97" s="4"/>
      <c r="I97" s="3"/>
      <c r="J97" s="3"/>
      <c r="K97" s="3"/>
      <c r="L97" s="3"/>
      <c r="M97" s="3"/>
      <c r="N97" s="3"/>
    </row>
    <row r="98" customFormat="false" ht="15" hidden="false" customHeight="false" outlineLevel="0" collapsed="false">
      <c r="C98" s="3"/>
      <c r="D98" s="4"/>
      <c r="E98" s="4"/>
      <c r="F98" s="4"/>
      <c r="G98" s="4"/>
      <c r="H98" s="4"/>
      <c r="I98" s="3"/>
      <c r="J98" s="3"/>
      <c r="K98" s="3"/>
      <c r="L98" s="3"/>
      <c r="M98" s="3"/>
      <c r="N98" s="3"/>
    </row>
    <row r="99" customFormat="false" ht="15" hidden="false" customHeight="false" outlineLevel="0" collapsed="false">
      <c r="C99" s="3"/>
      <c r="D99" s="4"/>
      <c r="E99" s="4"/>
      <c r="F99" s="4"/>
      <c r="G99" s="4"/>
      <c r="H99" s="4"/>
      <c r="I99" s="3"/>
      <c r="J99" s="3"/>
      <c r="K99" s="3"/>
      <c r="L99" s="3"/>
      <c r="M99" s="3"/>
      <c r="N99" s="3"/>
    </row>
    <row r="100" customFormat="false" ht="15" hidden="false" customHeight="false" outlineLevel="0" collapsed="false">
      <c r="C100" s="3"/>
      <c r="D100" s="4"/>
      <c r="E100" s="4"/>
      <c r="F100" s="4"/>
      <c r="G100" s="4"/>
      <c r="H100" s="4"/>
      <c r="I100" s="3"/>
      <c r="J100" s="3"/>
      <c r="K100" s="3"/>
      <c r="L100" s="3"/>
      <c r="M100" s="3"/>
      <c r="N100" s="3"/>
    </row>
    <row r="101" customFormat="false" ht="15" hidden="false" customHeight="false" outlineLevel="0" collapsed="false">
      <c r="C101" s="3"/>
      <c r="D101" s="4"/>
      <c r="E101" s="4"/>
      <c r="F101" s="4"/>
      <c r="G101" s="4"/>
      <c r="H101" s="4"/>
      <c r="I101" s="3"/>
      <c r="J101" s="3"/>
      <c r="K101" s="3"/>
      <c r="L101" s="3"/>
      <c r="M101" s="3"/>
      <c r="N101" s="3"/>
    </row>
    <row r="102" customFormat="false" ht="15" hidden="false" customHeight="false" outlineLevel="0" collapsed="false">
      <c r="C102" s="3"/>
      <c r="D102" s="4"/>
      <c r="E102" s="4"/>
      <c r="F102" s="4"/>
      <c r="G102" s="4"/>
      <c r="H102" s="4"/>
      <c r="I102" s="3"/>
      <c r="J102" s="3"/>
      <c r="K102" s="3"/>
      <c r="L102" s="3"/>
      <c r="M102" s="3"/>
      <c r="N102" s="3"/>
    </row>
    <row r="103" customFormat="false" ht="15" hidden="false" customHeight="false" outlineLevel="0" collapsed="false">
      <c r="C103" s="3"/>
      <c r="D103" s="4"/>
      <c r="E103" s="4"/>
      <c r="F103" s="4"/>
      <c r="G103" s="4"/>
      <c r="H103" s="4"/>
      <c r="I103" s="3"/>
      <c r="J103" s="3"/>
      <c r="K103" s="3"/>
      <c r="L103" s="3"/>
      <c r="M103" s="3"/>
      <c r="N103" s="3"/>
    </row>
    <row r="104" customFormat="false" ht="15" hidden="false" customHeight="false" outlineLevel="0" collapsed="false">
      <c r="C104" s="3"/>
      <c r="D104" s="4"/>
      <c r="E104" s="4"/>
      <c r="F104" s="4"/>
      <c r="G104" s="4"/>
      <c r="H104" s="4"/>
      <c r="I104" s="3"/>
      <c r="J104" s="3"/>
      <c r="K104" s="3"/>
      <c r="L104" s="3"/>
      <c r="M104" s="3"/>
      <c r="N104" s="3"/>
    </row>
    <row r="105" customFormat="false" ht="15" hidden="false" customHeight="false" outlineLevel="0" collapsed="false">
      <c r="C105" s="3"/>
      <c r="D105" s="4"/>
      <c r="E105" s="4"/>
      <c r="F105" s="4"/>
      <c r="G105" s="4"/>
      <c r="H105" s="4"/>
      <c r="I105" s="3"/>
      <c r="J105" s="3"/>
      <c r="K105" s="3"/>
      <c r="L105" s="3"/>
      <c r="M105" s="3"/>
      <c r="N105" s="3"/>
    </row>
    <row r="107" customFormat="false" ht="15" hidden="false" customHeight="false" outlineLevel="0" collapsed="false">
      <c r="C107" s="3"/>
      <c r="D107" s="4"/>
      <c r="E107" s="4"/>
      <c r="F107" s="4"/>
      <c r="G107" s="4"/>
      <c r="H107" s="4"/>
      <c r="I107" s="3"/>
      <c r="J107" s="3"/>
      <c r="K107" s="3"/>
      <c r="L107" s="3"/>
      <c r="M107" s="3"/>
      <c r="N107" s="3"/>
    </row>
    <row r="108" customFormat="false" ht="15" hidden="false" customHeight="false" outlineLevel="0" collapsed="false">
      <c r="C108" s="3"/>
      <c r="D108" s="4"/>
      <c r="E108" s="4"/>
      <c r="F108" s="4"/>
      <c r="G108" s="4"/>
      <c r="H108" s="4"/>
      <c r="I108" s="3"/>
      <c r="J108" s="3"/>
      <c r="K108" s="3"/>
      <c r="L108" s="3"/>
      <c r="M108" s="3"/>
      <c r="N108" s="3"/>
    </row>
    <row r="109" customFormat="false" ht="15" hidden="false" customHeight="false" outlineLevel="0" collapsed="false">
      <c r="C109" s="3"/>
      <c r="D109" s="4"/>
      <c r="E109" s="4"/>
      <c r="F109" s="4"/>
      <c r="G109" s="4"/>
      <c r="H109" s="4"/>
      <c r="I109" s="3"/>
      <c r="J109" s="3"/>
      <c r="K109" s="3"/>
      <c r="L109" s="3"/>
      <c r="M109" s="3"/>
      <c r="N109" s="3"/>
    </row>
    <row r="110" customFormat="false" ht="15" hidden="false" customHeight="false" outlineLevel="0" collapsed="false">
      <c r="C110" s="3"/>
      <c r="D110" s="4"/>
      <c r="E110" s="4"/>
      <c r="F110" s="4"/>
      <c r="G110" s="4"/>
      <c r="H110" s="4"/>
      <c r="I110" s="3"/>
      <c r="J110" s="3"/>
      <c r="K110" s="3"/>
      <c r="L110" s="3"/>
      <c r="M110" s="3"/>
      <c r="N110" s="3"/>
    </row>
    <row r="111" customFormat="false" ht="15" hidden="false" customHeight="false" outlineLevel="0" collapsed="false">
      <c r="C111" s="3"/>
      <c r="D111" s="4"/>
      <c r="E111" s="4"/>
      <c r="F111" s="4"/>
      <c r="G111" s="4"/>
      <c r="H111" s="4"/>
      <c r="I111" s="3"/>
      <c r="J111" s="3"/>
      <c r="K111" s="3"/>
      <c r="L111" s="3"/>
      <c r="M111" s="3"/>
      <c r="N111" s="3"/>
    </row>
    <row r="112" customFormat="false" ht="15" hidden="false" customHeight="false" outlineLevel="0" collapsed="false">
      <c r="C112" s="3"/>
      <c r="D112" s="4"/>
      <c r="E112" s="4"/>
      <c r="F112" s="4"/>
      <c r="G112" s="4"/>
      <c r="H112" s="4"/>
      <c r="I112" s="3"/>
      <c r="J112" s="3"/>
      <c r="K112" s="3"/>
      <c r="L112" s="3"/>
      <c r="M112" s="3"/>
      <c r="N112" s="3"/>
    </row>
    <row r="113" customFormat="false" ht="15" hidden="false" customHeight="false" outlineLevel="0" collapsed="false">
      <c r="C113" s="3"/>
      <c r="D113" s="4"/>
      <c r="E113" s="4"/>
      <c r="F113" s="4"/>
      <c r="G113" s="4"/>
      <c r="H113" s="4"/>
      <c r="I113" s="3"/>
      <c r="J113" s="3"/>
      <c r="K113" s="3"/>
      <c r="L113" s="3"/>
      <c r="M113" s="3"/>
      <c r="N113" s="3"/>
    </row>
    <row r="114" customFormat="false" ht="15" hidden="false" customHeight="false" outlineLevel="0" collapsed="false">
      <c r="C114" s="3"/>
      <c r="D114" s="4"/>
      <c r="E114" s="4"/>
      <c r="F114" s="4"/>
      <c r="G114" s="4"/>
      <c r="H114" s="4"/>
      <c r="I114" s="3"/>
      <c r="J114" s="3"/>
      <c r="K114" s="3"/>
      <c r="L114" s="3"/>
      <c r="M114" s="3"/>
      <c r="N114" s="3"/>
    </row>
    <row r="115" customFormat="false" ht="15" hidden="false" customHeight="false" outlineLevel="0" collapsed="false">
      <c r="C115" s="3"/>
      <c r="D115" s="4"/>
      <c r="E115" s="4"/>
      <c r="F115" s="4"/>
      <c r="G115" s="4"/>
      <c r="H115" s="4"/>
      <c r="I115" s="3"/>
      <c r="J115" s="3"/>
      <c r="K115" s="3"/>
      <c r="L115" s="3"/>
      <c r="M115" s="3"/>
      <c r="N115" s="3"/>
    </row>
    <row r="116" customFormat="false" ht="15" hidden="false" customHeight="false" outlineLevel="0" collapsed="false">
      <c r="C116" s="3"/>
      <c r="D116" s="4"/>
      <c r="E116" s="4"/>
      <c r="F116" s="4"/>
      <c r="G116" s="4"/>
      <c r="H116" s="4"/>
      <c r="I116" s="3"/>
      <c r="J116" s="3"/>
      <c r="K116" s="3"/>
      <c r="L116" s="3"/>
      <c r="M116" s="3"/>
      <c r="N116" s="3"/>
    </row>
    <row r="117" customFormat="false" ht="15" hidden="false" customHeight="false" outlineLevel="0" collapsed="false">
      <c r="C117" s="3"/>
      <c r="D117" s="4"/>
      <c r="E117" s="4"/>
      <c r="F117" s="4"/>
      <c r="G117" s="4"/>
      <c r="H117" s="4"/>
      <c r="I117" s="3"/>
      <c r="J117" s="3"/>
      <c r="K117" s="3"/>
      <c r="L117" s="3"/>
      <c r="M117" s="3"/>
      <c r="N117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2026-03-06T03:22:01Z</dcterms:created>
  <dc:creator>openpyxl</dc:creator>
  <dc:description/>
  <dc:language>pt-BR</dc:language>
  <cp:lastModifiedBy/>
  <dcterms:modified xsi:type="dcterms:W3CDTF">2026-03-20T10:28:52Z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